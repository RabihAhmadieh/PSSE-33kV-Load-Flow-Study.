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SSe\PSSE course\OLDER SETIONS\Edition 2\Assignment 1\"/>
    </mc:Choice>
  </mc:AlternateContent>
  <xr:revisionPtr revIDLastSave="0" documentId="13_ncr:1_{BFE4ECBF-6DDB-4341-AE2E-0FF8F92E5AE5}" xr6:coauthVersionLast="47" xr6:coauthVersionMax="47" xr10:uidLastSave="{00000000-0000-0000-0000-000000000000}"/>
  <bookViews>
    <workbookView xWindow="-110" yWindow="-110" windowWidth="25820" windowHeight="15500" activeTab="2" xr2:uid="{B54DFEC0-95FD-4F01-91E3-AC69E516058E}"/>
  </bookViews>
  <sheets>
    <sheet name="GRID SOURCE" sheetId="1" r:id="rId1"/>
    <sheet name="Transmission Line" sheetId="2" r:id="rId2"/>
    <sheet name="Transformer" sheetId="3" r:id="rId3"/>
    <sheet name="Lo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4" i="3"/>
  <c r="B11" i="3"/>
  <c r="B9" i="3"/>
  <c r="B7" i="3"/>
  <c r="B16" i="2"/>
  <c r="B15" i="2"/>
  <c r="B14" i="2"/>
  <c r="B12" i="2"/>
  <c r="B10" i="2"/>
  <c r="B9" i="2"/>
  <c r="B8" i="2"/>
  <c r="B9" i="1"/>
  <c r="B10" i="1"/>
  <c r="B15" i="1" s="1"/>
  <c r="B11" i="1"/>
  <c r="B12" i="1"/>
  <c r="B13" i="1"/>
  <c r="B16" i="1" l="1"/>
</calcChain>
</file>

<file path=xl/sharedStrings.xml><?xml version="1.0" encoding="utf-8"?>
<sst xmlns="http://schemas.openxmlformats.org/spreadsheetml/2006/main" count="77" uniqueCount="38">
  <si>
    <t>Vll</t>
  </si>
  <si>
    <t>KV</t>
  </si>
  <si>
    <t>SC (MVA)</t>
  </si>
  <si>
    <t>MVA</t>
  </si>
  <si>
    <t>X/R</t>
  </si>
  <si>
    <t>Frequency</t>
  </si>
  <si>
    <t>Hz</t>
  </si>
  <si>
    <t>SCR</t>
  </si>
  <si>
    <t>I3PH SC</t>
  </si>
  <si>
    <t>KA</t>
  </si>
  <si>
    <t>Zbase</t>
  </si>
  <si>
    <t>Ohm</t>
  </si>
  <si>
    <t>R</t>
  </si>
  <si>
    <t>X</t>
  </si>
  <si>
    <t>Zactual</t>
  </si>
  <si>
    <t>pu</t>
  </si>
  <si>
    <t>ohm/Km</t>
  </si>
  <si>
    <t>B</t>
  </si>
  <si>
    <t>Length</t>
  </si>
  <si>
    <t>Km</t>
  </si>
  <si>
    <t>ohm</t>
  </si>
  <si>
    <t>mho</t>
  </si>
  <si>
    <t>mho/Km</t>
  </si>
  <si>
    <t>Rating</t>
  </si>
  <si>
    <t>High V</t>
  </si>
  <si>
    <t>Low V</t>
  </si>
  <si>
    <t>Load loss</t>
  </si>
  <si>
    <t>KW</t>
  </si>
  <si>
    <t>@13.2MVA</t>
  </si>
  <si>
    <t>Z</t>
  </si>
  <si>
    <t>Load 1</t>
  </si>
  <si>
    <t>2pcs</t>
  </si>
  <si>
    <t>Load 2</t>
  </si>
  <si>
    <t>No of windings</t>
  </si>
  <si>
    <t>Rating per winding</t>
  </si>
  <si>
    <t>@3.3 MVA</t>
  </si>
  <si>
    <t>p.u</t>
  </si>
  <si>
    <t>@3.3MVA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</si>
</sst>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408-D1AC-4A19-ACC8-E6CAF4135F54}">
  <dimension ref="A3:C16"/>
  <sheetViews>
    <sheetView zoomScale="156" zoomScaleNormal="156" workbookViewId="0">
      <selection activeCell="B16" sqref="B16"/>
    </sheetView>
  </sheetViews>
  <sheetFormatPr defaultRowHeight="14.5" x14ac:dyDescent="0.35"/>
  <sheetData>
    <row r="3" spans="1:3" x14ac:dyDescent="0.35">
      <c r="A3" t="s">
        <v>0</v>
      </c>
      <c r="B3">
        <v>33</v>
      </c>
      <c r="C3" t="s">
        <v>1</v>
      </c>
    </row>
    <row r="4" spans="1:3" x14ac:dyDescent="0.35">
      <c r="A4" t="s">
        <v>2</v>
      </c>
      <c r="B4">
        <v>450</v>
      </c>
      <c r="C4" t="s">
        <v>3</v>
      </c>
    </row>
    <row r="5" spans="1:3" x14ac:dyDescent="0.35">
      <c r="A5" t="s">
        <v>4</v>
      </c>
      <c r="B5">
        <v>10</v>
      </c>
    </row>
    <row r="6" spans="1:3" x14ac:dyDescent="0.35">
      <c r="A6" t="s">
        <v>5</v>
      </c>
      <c r="B6">
        <v>50</v>
      </c>
      <c r="C6" t="s">
        <v>6</v>
      </c>
    </row>
    <row r="8" spans="1:3" x14ac:dyDescent="0.35">
      <c r="A8" t="s">
        <v>7</v>
      </c>
      <c r="B8">
        <v>5</v>
      </c>
    </row>
    <row r="9" spans="1:3" x14ac:dyDescent="0.35">
      <c r="A9" t="s">
        <v>8</v>
      </c>
      <c r="B9">
        <f>B4/(SQRT(3)*B3)</f>
        <v>7.8729582162221705</v>
      </c>
      <c r="C9" t="s">
        <v>9</v>
      </c>
    </row>
    <row r="10" spans="1:3" x14ac:dyDescent="0.35">
      <c r="A10" t="s">
        <v>10</v>
      </c>
      <c r="B10">
        <f>B3*B3/100</f>
        <v>10.89</v>
      </c>
      <c r="C10" t="s">
        <v>11</v>
      </c>
    </row>
    <row r="11" spans="1:3" x14ac:dyDescent="0.35">
      <c r="A11" t="s">
        <v>14</v>
      </c>
      <c r="B11">
        <f>B3/(SQRT(3)*B9)</f>
        <v>2.42</v>
      </c>
      <c r="C11" t="s">
        <v>11</v>
      </c>
    </row>
    <row r="12" spans="1:3" x14ac:dyDescent="0.35">
      <c r="A12" t="s">
        <v>12</v>
      </c>
      <c r="B12">
        <f>B11/SQRT(1+(B5)^2)</f>
        <v>0.24079900003081736</v>
      </c>
      <c r="C12" t="s">
        <v>11</v>
      </c>
    </row>
    <row r="13" spans="1:3" x14ac:dyDescent="0.35">
      <c r="A13" t="s">
        <v>13</v>
      </c>
      <c r="B13">
        <f>B12*B5</f>
        <v>2.4079900003081738</v>
      </c>
      <c r="C13" t="s">
        <v>11</v>
      </c>
    </row>
    <row r="15" spans="1:3" x14ac:dyDescent="0.35">
      <c r="A15" t="s">
        <v>12</v>
      </c>
      <c r="B15">
        <f>B12/B10</f>
        <v>2.2111937560221978E-2</v>
      </c>
      <c r="C15" t="s">
        <v>15</v>
      </c>
    </row>
    <row r="16" spans="1:3" x14ac:dyDescent="0.35">
      <c r="A16" t="s">
        <v>13</v>
      </c>
      <c r="B16">
        <f>B13/B10</f>
        <v>0.22111937560221981</v>
      </c>
      <c r="C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7627-3C5F-44FF-8ED0-706B5107D703}">
  <dimension ref="A2:C16"/>
  <sheetViews>
    <sheetView zoomScale="176" zoomScaleNormal="176" workbookViewId="0">
      <selection activeCell="B16" sqref="B16"/>
    </sheetView>
  </sheetViews>
  <sheetFormatPr defaultRowHeight="14.5" x14ac:dyDescent="0.35"/>
  <sheetData>
    <row r="2" spans="1:3" x14ac:dyDescent="0.35">
      <c r="A2" t="s">
        <v>0</v>
      </c>
      <c r="B2">
        <v>33</v>
      </c>
      <c r="C2" t="s">
        <v>1</v>
      </c>
    </row>
    <row r="3" spans="1:3" x14ac:dyDescent="0.35">
      <c r="A3" t="s">
        <v>12</v>
      </c>
      <c r="B3" s="1">
        <v>0.13600000000000001</v>
      </c>
      <c r="C3" t="s">
        <v>16</v>
      </c>
    </row>
    <row r="4" spans="1:3" x14ac:dyDescent="0.35">
      <c r="A4" t="s">
        <v>13</v>
      </c>
      <c r="B4" s="1">
        <v>0.40400000000000003</v>
      </c>
      <c r="C4" t="s">
        <v>16</v>
      </c>
    </row>
    <row r="5" spans="1:3" x14ac:dyDescent="0.35">
      <c r="A5" t="s">
        <v>17</v>
      </c>
      <c r="B5" s="1">
        <v>2.8399999999999999E-6</v>
      </c>
      <c r="C5" t="s">
        <v>22</v>
      </c>
    </row>
    <row r="6" spans="1:3" x14ac:dyDescent="0.35">
      <c r="A6" t="s">
        <v>18</v>
      </c>
      <c r="B6">
        <v>10</v>
      </c>
      <c r="C6" t="s">
        <v>19</v>
      </c>
    </row>
    <row r="8" spans="1:3" x14ac:dyDescent="0.35">
      <c r="A8" t="s">
        <v>12</v>
      </c>
      <c r="B8">
        <f>B3*B6</f>
        <v>1.36</v>
      </c>
      <c r="C8" t="s">
        <v>20</v>
      </c>
    </row>
    <row r="9" spans="1:3" x14ac:dyDescent="0.35">
      <c r="A9" t="s">
        <v>13</v>
      </c>
      <c r="B9">
        <f>B4*B6</f>
        <v>4.04</v>
      </c>
      <c r="C9" t="s">
        <v>20</v>
      </c>
    </row>
    <row r="10" spans="1:3" x14ac:dyDescent="0.35">
      <c r="A10" t="s">
        <v>17</v>
      </c>
      <c r="B10" s="1">
        <f>B5*B6</f>
        <v>2.8399999999999999E-5</v>
      </c>
      <c r="C10" t="s">
        <v>21</v>
      </c>
    </row>
    <row r="12" spans="1:3" x14ac:dyDescent="0.35">
      <c r="A12" t="s">
        <v>10</v>
      </c>
      <c r="B12">
        <f>B2*B2/100</f>
        <v>10.89</v>
      </c>
      <c r="C12" t="s">
        <v>20</v>
      </c>
    </row>
    <row r="14" spans="1:3" x14ac:dyDescent="0.35">
      <c r="A14" t="s">
        <v>12</v>
      </c>
      <c r="B14">
        <f>B8/B12</f>
        <v>0.12488521579430671</v>
      </c>
      <c r="C14" t="s">
        <v>15</v>
      </c>
    </row>
    <row r="15" spans="1:3" x14ac:dyDescent="0.35">
      <c r="A15" t="s">
        <v>13</v>
      </c>
      <c r="B15">
        <f>B9/B12</f>
        <v>0.37098255280073461</v>
      </c>
      <c r="C15" t="s">
        <v>15</v>
      </c>
    </row>
    <row r="16" spans="1:3" x14ac:dyDescent="0.35">
      <c r="A16" t="s">
        <v>17</v>
      </c>
      <c r="B16" s="1">
        <f>B10*B12</f>
        <v>3.0927599999999998E-4</v>
      </c>
      <c r="C1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9FF7-264A-4ECF-AE0E-87D391B7B3E3}">
  <dimension ref="A3:D14"/>
  <sheetViews>
    <sheetView tabSelected="1" zoomScale="184" zoomScaleNormal="184" workbookViewId="0">
      <selection activeCell="B14" sqref="B14"/>
    </sheetView>
  </sheetViews>
  <sheetFormatPr defaultRowHeight="14.5" x14ac:dyDescent="0.35"/>
  <cols>
    <col min="1" max="1" width="15.6328125" bestFit="1" customWidth="1"/>
    <col min="4" max="4" width="9.7265625" bestFit="1" customWidth="1"/>
  </cols>
  <sheetData>
    <row r="3" spans="1:4" x14ac:dyDescent="0.35">
      <c r="A3" t="s">
        <v>23</v>
      </c>
      <c r="B3">
        <v>13.2</v>
      </c>
      <c r="C3" t="s">
        <v>3</v>
      </c>
    </row>
    <row r="4" spans="1:4" x14ac:dyDescent="0.35">
      <c r="A4" t="s">
        <v>24</v>
      </c>
      <c r="B4">
        <v>33</v>
      </c>
      <c r="C4" t="s">
        <v>1</v>
      </c>
    </row>
    <row r="5" spans="1:4" x14ac:dyDescent="0.35">
      <c r="A5" t="s">
        <v>25</v>
      </c>
      <c r="B5">
        <v>0.69</v>
      </c>
      <c r="C5" t="s">
        <v>1</v>
      </c>
    </row>
    <row r="6" spans="1:4" x14ac:dyDescent="0.35">
      <c r="A6" t="s">
        <v>33</v>
      </c>
      <c r="B6">
        <v>5</v>
      </c>
    </row>
    <row r="7" spans="1:4" x14ac:dyDescent="0.35">
      <c r="A7" t="s">
        <v>34</v>
      </c>
      <c r="B7">
        <f>B3/4</f>
        <v>3.3</v>
      </c>
      <c r="C7" t="s">
        <v>3</v>
      </c>
    </row>
    <row r="8" spans="1:4" x14ac:dyDescent="0.35">
      <c r="A8" t="s">
        <v>26</v>
      </c>
      <c r="B8">
        <v>130</v>
      </c>
      <c r="C8" t="s">
        <v>27</v>
      </c>
      <c r="D8" s="2" t="s">
        <v>28</v>
      </c>
    </row>
    <row r="9" spans="1:4" x14ac:dyDescent="0.35">
      <c r="A9" t="s">
        <v>26</v>
      </c>
      <c r="B9">
        <f>B8/4</f>
        <v>32.5</v>
      </c>
      <c r="C9" t="s">
        <v>27</v>
      </c>
      <c r="D9" s="2" t="s">
        <v>35</v>
      </c>
    </row>
    <row r="10" spans="1:4" x14ac:dyDescent="0.35">
      <c r="A10" t="s">
        <v>29</v>
      </c>
      <c r="B10">
        <v>7.0000000000000007E-2</v>
      </c>
      <c r="C10" t="s">
        <v>36</v>
      </c>
      <c r="D10" s="2" t="s">
        <v>28</v>
      </c>
    </row>
    <row r="11" spans="1:4" x14ac:dyDescent="0.35">
      <c r="A11" t="s">
        <v>29</v>
      </c>
      <c r="B11">
        <f>B10/4</f>
        <v>1.7500000000000002E-2</v>
      </c>
      <c r="C11" t="s">
        <v>36</v>
      </c>
      <c r="D11" s="2" t="s">
        <v>37</v>
      </c>
    </row>
    <row r="13" spans="1:4" x14ac:dyDescent="0.35">
      <c r="A13" t="s">
        <v>12</v>
      </c>
      <c r="B13">
        <f>B9/(B7*1000)</f>
        <v>9.8484848484848477E-3</v>
      </c>
      <c r="C13" t="s">
        <v>15</v>
      </c>
    </row>
    <row r="14" spans="1:4" x14ac:dyDescent="0.35">
      <c r="A14" t="s">
        <v>13</v>
      </c>
      <c r="B14">
        <f>SQRT((B10^2)-(B13^2))</f>
        <v>6.9303732555968181E-2</v>
      </c>
      <c r="C1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B727-A599-486C-AF91-AA6296D92AC2}">
  <dimension ref="A5:D6"/>
  <sheetViews>
    <sheetView zoomScale="176" zoomScaleNormal="176" workbookViewId="0">
      <selection activeCell="C11" sqref="C11"/>
    </sheetView>
  </sheetViews>
  <sheetFormatPr defaultRowHeight="14.5" x14ac:dyDescent="0.35"/>
  <sheetData>
    <row r="5" spans="1:4" x14ac:dyDescent="0.35">
      <c r="A5" t="s">
        <v>30</v>
      </c>
      <c r="B5">
        <v>3300</v>
      </c>
      <c r="C5" t="s">
        <v>27</v>
      </c>
      <c r="D5" t="s">
        <v>31</v>
      </c>
    </row>
    <row r="6" spans="1:4" x14ac:dyDescent="0.35">
      <c r="A6" t="s">
        <v>32</v>
      </c>
      <c r="B6">
        <v>3125</v>
      </c>
      <c r="C6" t="s">
        <v>27</v>
      </c>
      <c r="D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 SOURCE</vt:lpstr>
      <vt:lpstr>Transmission Line</vt:lpstr>
      <vt:lpstr>Transformer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Rabih Kamal</dc:creator>
  <cp:lastModifiedBy>Rabih Kamal</cp:lastModifiedBy>
  <dcterms:created xsi:type="dcterms:W3CDTF">2026-10-06T18:39:25Z</dcterms:created>
  <dcterms:modified xsi:type="dcterms:W3CDTF">2026-10-07T07:46:15Z</dcterms:modified>
</cp:coreProperties>
</file>